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lsos" sheetId="1" state="visible" r:id="rId3"/>
    <sheet name="Supues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<sst xmlns="http://schemas.openxmlformats.org/spreadsheetml/2006/main" count="120" uniqueCount="82">
  <si>
    <t xml:space="preserve">SEMZO PRIVÉ — Rentabilidad de la opción de compra por bolso</t>
  </si>
  <si>
    <t xml:space="preserve">Celdas amarillas = editables. El resto se recalcula solo. Cambia los supuestos en la pestaña 'Supuestos'.</t>
  </si>
  <si>
    <t xml:space="preserve">Bolso</t>
  </si>
  <si>
    <t xml:space="preserve">Plan</t>
  </si>
  <si>
    <t xml:space="preserve">Cuota
(€/mes)</t>
  </si>
  <si>
    <t xml:space="preserve">Coste real
(€)</t>
  </si>
  <si>
    <t xml:space="preserve">Mercado 2ª
mano ref. (€)</t>
  </si>
  <si>
    <t xml:space="preserve">Precio compra
inicial (€)  ←EDITAR</t>
  </si>
  <si>
    <t xml:space="preserve">Meses hasta
ser gratis</t>
  </si>
  <si>
    <t xml:space="preserve">Nº cobros
hasta entonces</t>
  </si>
  <si>
    <t xml:space="preserve">Precio si compra
en mes ref.</t>
  </si>
  <si>
    <t xml:space="preserve">Total cobrado
(cuotas+saldo)</t>
  </si>
  <si>
    <t xml:space="preserve">Beneficio
bruto (€)</t>
  </si>
  <si>
    <t xml:space="preserve">Comisión de
cobro est. (€)</t>
  </si>
  <si>
    <t xml:space="preserve">Coste de
capital est. (€)</t>
  </si>
  <si>
    <t xml:space="preserve">Provisión
desgaste (€)</t>
  </si>
  <si>
    <t xml:space="preserve">Beneficio
neto (€)</t>
  </si>
  <si>
    <t xml:space="preserve">Margen neto
/ coste</t>
  </si>
  <si>
    <t xml:space="preserve">Estado precio</t>
  </si>
  <si>
    <t xml:space="preserve">Chanel 2.55 Matelassé</t>
  </si>
  <si>
    <t xml:space="preserve">Privé</t>
  </si>
  <si>
    <t xml:space="preserve">Chanel Mini Matelassé</t>
  </si>
  <si>
    <t xml:space="preserve">Fendi Mini Peekaboo</t>
  </si>
  <si>
    <t xml:space="preserve">Gucci Jackie Burdeos</t>
  </si>
  <si>
    <t xml:space="preserve">s/d</t>
  </si>
  <si>
    <t xml:space="preserve">Chanel Sequin V-Stitch Clutch</t>
  </si>
  <si>
    <t xml:space="preserve">Chanel WOC (Crossbody)</t>
  </si>
  <si>
    <t xml:space="preserve">Fendi Baguette</t>
  </si>
  <si>
    <t xml:space="preserve">YSL College</t>
  </si>
  <si>
    <t xml:space="preserve">Gucci Bamboo 1947</t>
  </si>
  <si>
    <t xml:space="preserve">Signature</t>
  </si>
  <si>
    <t xml:space="preserve">YSL Envelope</t>
  </si>
  <si>
    <t xml:space="preserve">Louis Vuitton Pont Neuf</t>
  </si>
  <si>
    <t xml:space="preserve">Louis Vuitton Rêverie</t>
  </si>
  <si>
    <t xml:space="preserve">Louis Vuitton Portefeuille Bicolor</t>
  </si>
  <si>
    <t xml:space="preserve">Louis Vuitton Amarillo (Malesherbes)</t>
  </si>
  <si>
    <t xml:space="preserve">Prada Granulada</t>
  </si>
  <si>
    <t xml:space="preserve">Prada Saffiano</t>
  </si>
  <si>
    <t xml:space="preserve">Marni Trunk Mini</t>
  </si>
  <si>
    <t xml:space="preserve">L'Essentiel</t>
  </si>
  <si>
    <t xml:space="preserve">Marni Tribeca</t>
  </si>
  <si>
    <t xml:space="preserve">Patou Beige</t>
  </si>
  <si>
    <t xml:space="preserve">Furla Denim</t>
  </si>
  <si>
    <t xml:space="preserve">SOLO ALQUILER</t>
  </si>
  <si>
    <t xml:space="preserve">Furla Club Mini</t>
  </si>
  <si>
    <t xml:space="preserve">Karl Lagerfeld K/Studio</t>
  </si>
  <si>
    <t xml:space="preserve">TOTAL (bolsos con opción de compra)</t>
  </si>
  <si>
    <t xml:space="preserve">Por plan</t>
  </si>
  <si>
    <t xml:space="preserve">Nº bolsos c/ opción</t>
  </si>
  <si>
    <t xml:space="preserve">Coste total</t>
  </si>
  <si>
    <t xml:space="preserve">Precio inicial total</t>
  </si>
  <si>
    <t xml:space="preserve">Beneficio neto total</t>
  </si>
  <si>
    <t xml:space="preserve">Margen neto</t>
  </si>
  <si>
    <t xml:space="preserve">Cómo usarlo:</t>
  </si>
  <si>
    <t xml:space="preserve">1) Edita 'Precio compra inicial' (col. F, amarillo) para cada bolso — es el único dato que tienes que tocar bolso a bolso.</t>
  </si>
  <si>
    <t xml:space="preserve">2) Cambia los supuestos generales (% de la cuota, comisiones, coste de capital, provisión) en la pestaña 'Supuestos'.</t>
  </si>
  <si>
    <t xml:space="preserve">3) 'Beneficio neto' y 'Margen neto' se recalculan solos. 'Estado precio' avisa en rojo si el precio inicial no cubre el coste + 15%.</t>
  </si>
  <si>
    <t xml:space="preserve">4) Furla Denim, Furla Club Mini y Karl Lagerfeld K/Studio están marcados 'SOLO ALQUILER': su coste no deja margen suficiente para ofrecer opción de compra.</t>
  </si>
  <si>
    <t xml:space="preserve">5) Todos los cálculos son antes de IVA. Confirma con tu gestor si aplica el régimen REBU de bienes usados.</t>
  </si>
  <si>
    <t xml:space="preserve">SEMZO PRIVÉ — Supuestos de la calculadora de opción de compra</t>
  </si>
  <si>
    <t xml:space="preserve">Edita solo las celdas amarillas. Todo lo demás se recalcula solo.</t>
  </si>
  <si>
    <t xml:space="preserve">Parámetro</t>
  </si>
  <si>
    <t xml:space="preserve">Valor</t>
  </si>
  <si>
    <t xml:space="preserve">Nota</t>
  </si>
  <si>
    <t xml:space="preserve">% de la cuota que se descuenta del precio de compra (k)</t>
  </si>
  <si>
    <t xml:space="preserve">Confirmado por Erika: el 100% de cada cuota pagada cuenta para la compra.</t>
  </si>
  <si>
    <t xml:space="preserve">Mes de referencia para ver el precio 'a mitad de camino'</t>
  </si>
  <si>
    <t xml:space="preserve">Solo para mostrar una foto intermedia en la tabla (ej. precio si compra en el mes 6).</t>
  </si>
  <si>
    <t xml:space="preserve">Multiplicador sobre precio de mercado de 2ª mano</t>
  </si>
  <si>
    <t xml:space="preserve">Precio de compra inicial recomendado = mercado de 2ª mano x este multiplicador.</t>
  </si>
  <si>
    <t xml:space="preserve">Comisión de cobro variable (Stripe/SEPA, %)</t>
  </si>
  <si>
    <t xml:space="preserve">Supuesto. Ajusta a tu procesador real.</t>
  </si>
  <si>
    <t xml:space="preserve">Comisión de cobro fija por cobro (€)</t>
  </si>
  <si>
    <t xml:space="preserve">Supuesto por cargo/mes cobrado.</t>
  </si>
  <si>
    <t xml:space="preserve">Coste de capital anual (%)</t>
  </si>
  <si>
    <t xml:space="preserve">Coste de oportunidad de tener el bolso comprado como stock mientras se paga.</t>
  </si>
  <si>
    <t xml:space="preserve">Provisión por desgaste / impago (% del precio de compra)</t>
  </si>
  <si>
    <t xml:space="preserve">Cubre reparaciones, limpieza y riesgo de impago antes de la venta.</t>
  </si>
  <si>
    <t xml:space="preserve">Cuota Essentiel L'Essentiel (€/mes)</t>
  </si>
  <si>
    <t xml:space="preserve">Del catálogo semzoprive.com</t>
  </si>
  <si>
    <t xml:space="preserve">Cuota Signature (€/mes)</t>
  </si>
  <si>
    <t xml:space="preserve">Cuota Privé (€/mes)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</si>
</sst>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€#,##0"/>
    <numFmt numFmtId="166" formatCode="\€#,##0.00"/>
    <numFmt numFmtId="167" formatCode="0.0"/>
    <numFmt numFmtId="168" formatCode="General"/>
    <numFmt numFmtId="169" formatCode="0%"/>
    <numFmt numFmtId="170" formatCode="0"/>
    <numFmt numFmtId="171" formatCode="0.00\x"/>
    <numFmt numFmtId="172" formatCode="0.0%"/>
    <numFmt numFmtId="173" formatCode="\€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4B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4B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F4C4CC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F4C4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1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3" min="10" style="1" width="13"/>
    <col collapsed="false" customWidth="true" hidden="false" outlineLevel="0" max="14" min="14" style="1" width="14"/>
    <col collapsed="false" customWidth="true" hidden="false" outlineLevel="0" max="15" min="15" style="1" width="13"/>
    <col collapsed="false" customWidth="true" hidden="false" outlineLevel="0" max="16" min="16" style="1" width="12"/>
    <col collapsed="false" customWidth="true" hidden="false" outlineLevel="0" max="17" min="17" style="1" width="13"/>
    <col collapsed="false" customWidth="true" hidden="false" outlineLevel="0" max="18" min="18" style="1" width="11"/>
    <col collapsed="false" customWidth="true" hidden="false" outlineLevel="0" max="19" min="19" style="1" width="2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customFormat="false" ht="43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customFormat="false" ht="15" hidden="false" customHeight="true" outlineLevel="0" collapsed="false">
      <c r="A5" s="5" t="s">
        <v>19</v>
      </c>
      <c r="B5" s="5" t="s">
        <v>20</v>
      </c>
      <c r="C5" s="6" t="n">
        <f aca="false">IF(B5="L'Essentiel",Supuestos!$B$13,IF(B5="Signature",Supuestos!$B$14,IF(B5="Privé",Supuestos!$B$15,"?")))</f>
        <v>279</v>
      </c>
      <c r="D5" s="7" t="n">
        <v>1975.72</v>
      </c>
      <c r="E5" s="6" t="n">
        <v>4100</v>
      </c>
      <c r="F5" s="8" t="n">
        <v>4500</v>
      </c>
      <c r="G5" s="9" t="n">
        <f aca="false">IF(F5="SOLO ALQUILER","—",F5/(C5*Supuestos!$B$6))</f>
        <v>16.1290322580645</v>
      </c>
      <c r="H5" s="10" t="n">
        <f aca="false">IF(G5="—","—",ROUNDUP(G5,0))</f>
        <v>17</v>
      </c>
      <c r="I5" s="6" t="n">
        <f aca="false">IF(F5="SOLO ALQUILER","—",MAX(0,F5-C5*Supuestos!$B$6*Supuestos!$B$7))</f>
        <v>2826</v>
      </c>
      <c r="J5" s="6" t="n">
        <f aca="false">IF(F5="SOLO ALQUILER","—",F5)</f>
        <v>4500</v>
      </c>
      <c r="K5" s="6" t="n">
        <f aca="false">IF(F5="SOLO ALQUILER","—",F5-D5)</f>
        <v>2524.28</v>
      </c>
      <c r="L5" s="6" t="n">
        <f aca="false">IF(F5="SOLO ALQUILER","—",Supuestos!$B$9*F5+Supuestos!$B$10*H5)</f>
        <v>71.75</v>
      </c>
      <c r="M5" s="6" t="n">
        <f aca="false">IF(F5="SOLO ALQUILER","—",D5*Supuestos!$B$11*(G5/2)/12)</f>
        <v>132.77688172043</v>
      </c>
      <c r="N5" s="6" t="n">
        <f aca="false">IF(F5="SOLO ALQUILER","—",Supuestos!$B$12*F5)</f>
        <v>225</v>
      </c>
      <c r="O5" s="6" t="n">
        <f aca="false">IF(F5="SOLO ALQUILER","—",K5-L5-M5-N5)</f>
        <v>2094.75311827957</v>
      </c>
      <c r="P5" s="11" t="n">
        <f aca="false">IF(F5="SOLO ALQUILER","—",O5/D5)</f>
        <v>1.06024796948939</v>
      </c>
      <c r="Q5" s="12" t="str">
        <f aca="false">IF(F5="SOLO ALQUILER","Solo alquiler (sin opción de compra)",IF(F5&lt;D5*1.15,"⚠ Precio bajo: subir precio inicial","OK"))</f>
        <v>OK</v>
      </c>
    </row>
    <row r="6" customFormat="false" ht="15" hidden="false" customHeight="true" outlineLevel="0" collapsed="false">
      <c r="A6" s="5" t="s">
        <v>21</v>
      </c>
      <c r="B6" s="5" t="s">
        <v>20</v>
      </c>
      <c r="C6" s="6" t="n">
        <f aca="false">IF(B6="L'Essentiel",Supuestos!$B$13,IF(B6="Signature",Supuestos!$B$14,IF(B6="Privé",Supuestos!$B$15,"?")))</f>
        <v>279</v>
      </c>
      <c r="D6" s="7" t="n">
        <v>2819.51</v>
      </c>
      <c r="E6" s="6" t="n">
        <v>4400</v>
      </c>
      <c r="F6" s="8" t="n">
        <v>4850</v>
      </c>
      <c r="G6" s="9" t="n">
        <f aca="false">IF(F6="SOLO ALQUILER","—",F6/(C6*Supuestos!$B$6))</f>
        <v>17.3835125448029</v>
      </c>
      <c r="H6" s="10" t="n">
        <f aca="false">IF(G6="—","—",ROUNDUP(G6,0))</f>
        <v>18</v>
      </c>
      <c r="I6" s="6" t="n">
        <f aca="false">IF(F6="SOLO ALQUILER","—",MAX(0,F6-C6*Supuestos!$B$6*Supuestos!$B$7))</f>
        <v>3176</v>
      </c>
      <c r="J6" s="6" t="n">
        <f aca="false">IF(F6="SOLO ALQUILER","—",F6)</f>
        <v>4850</v>
      </c>
      <c r="K6" s="6" t="n">
        <f aca="false">IF(F6="SOLO ALQUILER","—",F6-D6)</f>
        <v>2030.49</v>
      </c>
      <c r="L6" s="6" t="n">
        <f aca="false">IF(F6="SOLO ALQUILER","—",Supuestos!$B$9*F6+Supuestos!$B$10*H6)</f>
        <v>77.25</v>
      </c>
      <c r="M6" s="6" t="n">
        <f aca="false">IF(F6="SOLO ALQUILER","—",D6*Supuestos!$B$11*(G6/2)/12)</f>
        <v>204.220781063321</v>
      </c>
      <c r="N6" s="6" t="n">
        <f aca="false">IF(F6="SOLO ALQUILER","—",Supuestos!$B$12*F6)</f>
        <v>242.5</v>
      </c>
      <c r="O6" s="6" t="n">
        <f aca="false">IF(F6="SOLO ALQUILER","—",K6-L6-M6-N6)</f>
        <v>1506.51921893668</v>
      </c>
      <c r="P6" s="11" t="n">
        <f aca="false">IF(F6="SOLO ALQUILER","—",O6/D6)</f>
        <v>0.534319516134604</v>
      </c>
      <c r="Q6" s="12" t="str">
        <f aca="false">IF(F6="SOLO ALQUILER","Solo alquiler (sin opción de compra)",IF(F6&lt;D6*1.15,"⚠ Precio bajo: subir precio inicial","OK"))</f>
        <v>OK</v>
      </c>
    </row>
    <row r="7" customFormat="false" ht="15" hidden="false" customHeight="true" outlineLevel="0" collapsed="false">
      <c r="A7" s="5" t="s">
        <v>22</v>
      </c>
      <c r="B7" s="5" t="s">
        <v>20</v>
      </c>
      <c r="C7" s="6" t="n">
        <f aca="false">IF(B7="L'Essentiel",Supuestos!$B$13,IF(B7="Signature",Supuestos!$B$14,IF(B7="Privé",Supuestos!$B$15,"?")))</f>
        <v>279</v>
      </c>
      <c r="D7" s="7" t="n">
        <v>1466.99</v>
      </c>
      <c r="E7" s="6" t="n">
        <v>2430</v>
      </c>
      <c r="F7" s="8" t="n">
        <v>2650</v>
      </c>
      <c r="G7" s="9" t="n">
        <f aca="false">IF(F7="SOLO ALQUILER","—",F7/(C7*Supuestos!$B$6))</f>
        <v>9.49820788530466</v>
      </c>
      <c r="H7" s="10" t="n">
        <f aca="false">IF(G7="—","—",ROUNDUP(G7,0))</f>
        <v>10</v>
      </c>
      <c r="I7" s="6" t="n">
        <f aca="false">IF(F7="SOLO ALQUILER","—",MAX(0,F7-C7*Supuestos!$B$6*Supuestos!$B$7))</f>
        <v>976</v>
      </c>
      <c r="J7" s="6" t="n">
        <f aca="false">IF(F7="SOLO ALQUILER","—",F7)</f>
        <v>2650</v>
      </c>
      <c r="K7" s="6" t="n">
        <f aca="false">IF(F7="SOLO ALQUILER","—",F7-D7)</f>
        <v>1183.01</v>
      </c>
      <c r="L7" s="6" t="n">
        <f aca="false">IF(F7="SOLO ALQUILER","—",Supuestos!$B$9*F7+Supuestos!$B$10*H7)</f>
        <v>42.25</v>
      </c>
      <c r="M7" s="6" t="n">
        <f aca="false">IF(F7="SOLO ALQUILER","—",D7*Supuestos!$B$11*(G7/2)/12)</f>
        <v>58.0573999402629</v>
      </c>
      <c r="N7" s="6" t="n">
        <f aca="false">IF(F7="SOLO ALQUILER","—",Supuestos!$B$12*F7)</f>
        <v>132.5</v>
      </c>
      <c r="O7" s="6" t="n">
        <f aca="false">IF(F7="SOLO ALQUILER","—",K7-L7-M7-N7)</f>
        <v>950.202600059737</v>
      </c>
      <c r="P7" s="11" t="n">
        <f aca="false">IF(F7="SOLO ALQUILER","—",O7/D7)</f>
        <v>0.647722615736806</v>
      </c>
      <c r="Q7" s="12" t="str">
        <f aca="false">IF(F7="SOLO ALQUILER","Solo alquiler (sin opción de compra)",IF(F7&lt;D7*1.15,"⚠ Precio bajo: subir precio inicial","OK"))</f>
        <v>OK</v>
      </c>
    </row>
    <row r="8" customFormat="false" ht="15" hidden="false" customHeight="true" outlineLevel="0" collapsed="false">
      <c r="A8" s="5" t="s">
        <v>23</v>
      </c>
      <c r="B8" s="5" t="s">
        <v>20</v>
      </c>
      <c r="C8" s="6" t="n">
        <f aca="false">IF(B8="L'Essentiel",Supuestos!$B$13,IF(B8="Signature",Supuestos!$B$14,IF(B8="Privé",Supuestos!$B$15,"?")))</f>
        <v>279</v>
      </c>
      <c r="D8" s="7" t="n">
        <v>1404.59</v>
      </c>
      <c r="E8" s="13" t="s">
        <v>24</v>
      </c>
      <c r="F8" s="8" t="n">
        <v>2200</v>
      </c>
      <c r="G8" s="9" t="n">
        <f aca="false">IF(F8="SOLO ALQUILER","—",F8/(C8*Supuestos!$B$6))</f>
        <v>7.88530465949821</v>
      </c>
      <c r="H8" s="10" t="n">
        <f aca="false">IF(G8="—","—",ROUNDUP(G8,0))</f>
        <v>8</v>
      </c>
      <c r="I8" s="6" t="n">
        <f aca="false">IF(F8="SOLO ALQUILER","—",MAX(0,F8-C8*Supuestos!$B$6*Supuestos!$B$7))</f>
        <v>526</v>
      </c>
      <c r="J8" s="6" t="n">
        <f aca="false">IF(F8="SOLO ALQUILER","—",F8)</f>
        <v>2200</v>
      </c>
      <c r="K8" s="6" t="n">
        <f aca="false">IF(F8="SOLO ALQUILER","—",F8-D8)</f>
        <v>795.41</v>
      </c>
      <c r="L8" s="6" t="n">
        <f aca="false">IF(F8="SOLO ALQUILER","—",Supuestos!$B$9*F8+Supuestos!$B$10*H8)</f>
        <v>35</v>
      </c>
      <c r="M8" s="6" t="n">
        <f aca="false">IF(F8="SOLO ALQUILER","—",D8*Supuestos!$B$11*(G8/2)/12)</f>
        <v>46.1484169653525</v>
      </c>
      <c r="N8" s="6" t="n">
        <f aca="false">IF(F8="SOLO ALQUILER","—",Supuestos!$B$12*F8)</f>
        <v>110</v>
      </c>
      <c r="O8" s="6" t="n">
        <f aca="false">IF(F8="SOLO ALQUILER","—",K8-L8-M8-N8)</f>
        <v>604.261583034648</v>
      </c>
      <c r="P8" s="11" t="n">
        <f aca="false">IF(F8="SOLO ALQUILER","—",O8/D8)</f>
        <v>0.430204958767076</v>
      </c>
      <c r="Q8" s="12" t="str">
        <f aca="false">IF(F8="SOLO ALQUILER","Solo alquiler (sin opción de compra)",IF(F8&lt;D8*1.15,"⚠ Precio bajo: subir precio inicial","OK"))</f>
        <v>OK</v>
      </c>
    </row>
    <row r="9" customFormat="false" ht="15" hidden="false" customHeight="true" outlineLevel="0" collapsed="false">
      <c r="A9" s="5" t="s">
        <v>25</v>
      </c>
      <c r="B9" s="5" t="s">
        <v>20</v>
      </c>
      <c r="C9" s="6" t="n">
        <f aca="false">IF(B9="L'Essentiel",Supuestos!$B$13,IF(B9="Signature",Supuestos!$B$14,IF(B9="Privé",Supuestos!$B$15,"?")))</f>
        <v>279</v>
      </c>
      <c r="D9" s="7" t="n">
        <v>699.46</v>
      </c>
      <c r="E9" s="13" t="s">
        <v>24</v>
      </c>
      <c r="F9" s="8" t="n">
        <v>1100</v>
      </c>
      <c r="G9" s="9" t="n">
        <f aca="false">IF(F9="SOLO ALQUILER","—",F9/(C9*Supuestos!$B$6))</f>
        <v>3.9426523297491</v>
      </c>
      <c r="H9" s="10" t="n">
        <f aca="false">IF(G9="—","—",ROUNDUP(G9,0))</f>
        <v>4</v>
      </c>
      <c r="I9" s="6" t="n">
        <f aca="false">IF(F9="SOLO ALQUILER","—",MAX(0,F9-C9*Supuestos!$B$6*Supuestos!$B$7))</f>
        <v>0</v>
      </c>
      <c r="J9" s="6" t="n">
        <f aca="false">IF(F9="SOLO ALQUILER","—",F9)</f>
        <v>1100</v>
      </c>
      <c r="K9" s="6" t="n">
        <f aca="false">IF(F9="SOLO ALQUILER","—",F9-D9)</f>
        <v>400.54</v>
      </c>
      <c r="L9" s="6" t="n">
        <f aca="false">IF(F9="SOLO ALQUILER","—",Supuestos!$B$9*F9+Supuestos!$B$10*H9)</f>
        <v>17.5</v>
      </c>
      <c r="M9" s="6" t="n">
        <f aca="false">IF(F9="SOLO ALQUILER","—",D9*Supuestos!$B$11*(G9/2)/12)</f>
        <v>11.490531660693</v>
      </c>
      <c r="N9" s="6" t="n">
        <f aca="false">IF(F9="SOLO ALQUILER","—",Supuestos!$B$12*F9)</f>
        <v>55</v>
      </c>
      <c r="O9" s="6" t="n">
        <f aca="false">IF(F9="SOLO ALQUILER","—",K9-L9-M9-N9)</f>
        <v>316.549468339307</v>
      </c>
      <c r="P9" s="11" t="n">
        <f aca="false">IF(F9="SOLO ALQUILER","—",O9/D9)</f>
        <v>0.452562645954461</v>
      </c>
      <c r="Q9" s="12" t="str">
        <f aca="false">IF(F9="SOLO ALQUILER","Solo alquiler (sin opción de compra)",IF(F9&lt;D9*1.15,"⚠ Precio bajo: subir precio inicial","OK"))</f>
        <v>OK</v>
      </c>
    </row>
    <row r="10" customFormat="false" ht="15" hidden="false" customHeight="true" outlineLevel="0" collapsed="false">
      <c r="A10" s="5" t="s">
        <v>26</v>
      </c>
      <c r="B10" s="5" t="s">
        <v>20</v>
      </c>
      <c r="C10" s="6" t="n">
        <f aca="false">IF(B10="L'Essentiel",Supuestos!$B$13,IF(B10="Signature",Supuestos!$B$14,IF(B10="Privé",Supuestos!$B$15,"?")))</f>
        <v>279</v>
      </c>
      <c r="D10" s="7" t="n">
        <v>2255</v>
      </c>
      <c r="E10" s="6" t="n">
        <v>2450</v>
      </c>
      <c r="F10" s="8" t="n">
        <v>2700</v>
      </c>
      <c r="G10" s="9" t="n">
        <f aca="false">IF(F10="SOLO ALQUILER","—",F10/(C10*Supuestos!$B$6))</f>
        <v>9.67741935483871</v>
      </c>
      <c r="H10" s="10" t="n">
        <f aca="false">IF(G10="—","—",ROUNDUP(G10,0))</f>
        <v>10</v>
      </c>
      <c r="I10" s="6" t="n">
        <f aca="false">IF(F10="SOLO ALQUILER","—",MAX(0,F10-C10*Supuestos!$B$6*Supuestos!$B$7))</f>
        <v>1026</v>
      </c>
      <c r="J10" s="6" t="n">
        <f aca="false">IF(F10="SOLO ALQUILER","—",F10)</f>
        <v>2700</v>
      </c>
      <c r="K10" s="6" t="n">
        <f aca="false">IF(F10="SOLO ALQUILER","—",F10-D10)</f>
        <v>445</v>
      </c>
      <c r="L10" s="6" t="n">
        <f aca="false">IF(F10="SOLO ALQUILER","—",Supuestos!$B$9*F10+Supuestos!$B$10*H10)</f>
        <v>43</v>
      </c>
      <c r="M10" s="6" t="n">
        <f aca="false">IF(F10="SOLO ALQUILER","—",D10*Supuestos!$B$11*(G10/2)/12)</f>
        <v>90.9274193548387</v>
      </c>
      <c r="N10" s="6" t="n">
        <f aca="false">IF(F10="SOLO ALQUILER","—",Supuestos!$B$12*F10)</f>
        <v>135</v>
      </c>
      <c r="O10" s="6" t="n">
        <f aca="false">IF(F10="SOLO ALQUILER","—",K10-L10-M10-N10)</f>
        <v>176.072580645161</v>
      </c>
      <c r="P10" s="11" t="n">
        <f aca="false">IF(F10="SOLO ALQUILER","—",O10/D10)</f>
        <v>0.0780809670266791</v>
      </c>
      <c r="Q10" s="12" t="str">
        <f aca="false">IF(F10="SOLO ALQUILER","Solo alquiler (sin opción de compra)",IF(F10&lt;D10*1.15,"⚠ Precio bajo: subir precio inicial","OK"))</f>
        <v>OK</v>
      </c>
    </row>
    <row r="11" customFormat="false" ht="15" hidden="false" customHeight="true" outlineLevel="0" collapsed="false">
      <c r="A11" s="5" t="s">
        <v>27</v>
      </c>
      <c r="B11" s="5" t="s">
        <v>20</v>
      </c>
      <c r="C11" s="6" t="n">
        <f aca="false">IF(B11="L'Essentiel",Supuestos!$B$13,IF(B11="Signature",Supuestos!$B$14,IF(B11="Privé",Supuestos!$B$15,"?")))</f>
        <v>279</v>
      </c>
      <c r="D11" s="7" t="n">
        <v>1778.09</v>
      </c>
      <c r="E11" s="6" t="n">
        <v>1765</v>
      </c>
      <c r="F11" s="8" t="n">
        <v>1950</v>
      </c>
      <c r="G11" s="9" t="n">
        <f aca="false">IF(F11="SOLO ALQUILER","—",F11/(C11*Supuestos!$B$6))</f>
        <v>6.98924731182796</v>
      </c>
      <c r="H11" s="10" t="n">
        <f aca="false">IF(G11="—","—",ROUNDUP(G11,0))</f>
        <v>7</v>
      </c>
      <c r="I11" s="6" t="n">
        <f aca="false">IF(F11="SOLO ALQUILER","—",MAX(0,F11-C11*Supuestos!$B$6*Supuestos!$B$7))</f>
        <v>276</v>
      </c>
      <c r="J11" s="6" t="n">
        <f aca="false">IF(F11="SOLO ALQUILER","—",F11)</f>
        <v>1950</v>
      </c>
      <c r="K11" s="6" t="n">
        <f aca="false">IF(F11="SOLO ALQUILER","—",F11-D11)</f>
        <v>171.91</v>
      </c>
      <c r="L11" s="6" t="n">
        <f aca="false">IF(F11="SOLO ALQUILER","—",Supuestos!$B$9*F11+Supuestos!$B$10*H11)</f>
        <v>31</v>
      </c>
      <c r="M11" s="6" t="n">
        <f aca="false">IF(F11="SOLO ALQUILER","—",D11*Supuestos!$B$11*(G11/2)/12)</f>
        <v>51.7812948028674</v>
      </c>
      <c r="N11" s="6" t="n">
        <f aca="false">IF(F11="SOLO ALQUILER","—",Supuestos!$B$12*F11)</f>
        <v>97.5</v>
      </c>
      <c r="O11" s="6" t="n">
        <f aca="false">IF(F11="SOLO ALQUILER","—",K11-L11-M11-N11)</f>
        <v>-8.37129480286731</v>
      </c>
      <c r="P11" s="11" t="n">
        <f aca="false">IF(F11="SOLO ALQUILER","—",O11/D11)</f>
        <v>-0.00470802647946241</v>
      </c>
      <c r="Q11" s="12" t="str">
        <f aca="false">IF(F11="SOLO ALQUILER","Solo alquiler (sin opción de compra)",IF(F11&lt;D11*1.15,"⚠ Precio bajo: subir precio inicial","OK"))</f>
        <v>⚠ Precio bajo: subir precio inicial</v>
      </c>
    </row>
    <row r="12" customFormat="false" ht="15" hidden="false" customHeight="true" outlineLevel="0" collapsed="false">
      <c r="A12" s="5" t="s">
        <v>28</v>
      </c>
      <c r="B12" s="5" t="s">
        <v>20</v>
      </c>
      <c r="C12" s="6" t="n">
        <f aca="false">IF(B12="L'Essentiel",Supuestos!$B$13,IF(B12="Signature",Supuestos!$B$14,IF(B12="Privé",Supuestos!$B$15,"?")))</f>
        <v>279</v>
      </c>
      <c r="D12" s="7" t="n">
        <v>1090.9</v>
      </c>
      <c r="E12" s="6" t="n">
        <v>1330</v>
      </c>
      <c r="F12" s="8" t="n">
        <v>1450</v>
      </c>
      <c r="G12" s="9" t="n">
        <f aca="false">IF(F12="SOLO ALQUILER","—",F12/(C12*Supuestos!$B$6))</f>
        <v>5.19713261648746</v>
      </c>
      <c r="H12" s="10" t="n">
        <f aca="false">IF(G12="—","—",ROUNDUP(G12,0))</f>
        <v>6</v>
      </c>
      <c r="I12" s="6" t="n">
        <f aca="false">IF(F12="SOLO ALQUILER","—",MAX(0,F12-C12*Supuestos!$B$6*Supuestos!$B$7))</f>
        <v>0</v>
      </c>
      <c r="J12" s="6" t="n">
        <f aca="false">IF(F12="SOLO ALQUILER","—",F12)</f>
        <v>1450</v>
      </c>
      <c r="K12" s="6" t="n">
        <f aca="false">IF(F12="SOLO ALQUILER","—",F12-D12)</f>
        <v>359.1</v>
      </c>
      <c r="L12" s="6" t="n">
        <f aca="false">IF(F12="SOLO ALQUILER","—",Supuestos!$B$9*F12+Supuestos!$B$10*H12)</f>
        <v>23.25</v>
      </c>
      <c r="M12" s="6" t="n">
        <f aca="false">IF(F12="SOLO ALQUILER","—",D12*Supuestos!$B$11*(G12/2)/12)</f>
        <v>23.623133213859</v>
      </c>
      <c r="N12" s="6" t="n">
        <f aca="false">IF(F12="SOLO ALQUILER","—",Supuestos!$B$12*F12)</f>
        <v>72.5</v>
      </c>
      <c r="O12" s="6" t="n">
        <f aca="false">IF(F12="SOLO ALQUILER","—",K12-L12-M12-N12)</f>
        <v>239.726866786141</v>
      </c>
      <c r="P12" s="11" t="n">
        <f aca="false">IF(F12="SOLO ALQUILER","—",O12/D12)</f>
        <v>0.219751459149455</v>
      </c>
      <c r="Q12" s="12" t="str">
        <f aca="false">IF(F12="SOLO ALQUILER","Solo alquiler (sin opción de compra)",IF(F12&lt;D12*1.15,"⚠ Precio bajo: subir precio inicial","OK"))</f>
        <v>OK</v>
      </c>
    </row>
    <row r="13" customFormat="false" ht="15" hidden="false" customHeight="true" outlineLevel="0" collapsed="false">
      <c r="A13" s="5" t="s">
        <v>29</v>
      </c>
      <c r="B13" s="5" t="s">
        <v>30</v>
      </c>
      <c r="C13" s="6" t="n">
        <f aca="false">IF(B13="L'Essentiel",Supuestos!$B$13,IF(B13="Signature",Supuestos!$B$14,IF(B13="Privé",Supuestos!$B$15,"?")))</f>
        <v>149</v>
      </c>
      <c r="D13" s="7" t="n">
        <v>1092</v>
      </c>
      <c r="E13" s="6" t="n">
        <v>1450</v>
      </c>
      <c r="F13" s="8" t="n">
        <v>1600</v>
      </c>
      <c r="G13" s="9" t="n">
        <f aca="false">IF(F13="SOLO ALQUILER","—",F13/(C13*Supuestos!$B$6))</f>
        <v>10.738255033557</v>
      </c>
      <c r="H13" s="10" t="n">
        <f aca="false">IF(G13="—","—",ROUNDUP(G13,0))</f>
        <v>11</v>
      </c>
      <c r="I13" s="6" t="n">
        <f aca="false">IF(F13="SOLO ALQUILER","—",MAX(0,F13-C13*Supuestos!$B$6*Supuestos!$B$7))</f>
        <v>706</v>
      </c>
      <c r="J13" s="6" t="n">
        <f aca="false">IF(F13="SOLO ALQUILER","—",F13)</f>
        <v>1600</v>
      </c>
      <c r="K13" s="6" t="n">
        <f aca="false">IF(F13="SOLO ALQUILER","—",F13-D13)</f>
        <v>508</v>
      </c>
      <c r="L13" s="6" t="n">
        <f aca="false">IF(F13="SOLO ALQUILER","—",Supuestos!$B$9*F13+Supuestos!$B$10*H13)</f>
        <v>26.75</v>
      </c>
      <c r="M13" s="6" t="n">
        <f aca="false">IF(F13="SOLO ALQUILER","—",D13*Supuestos!$B$11*(G13/2)/12)</f>
        <v>48.8590604026846</v>
      </c>
      <c r="N13" s="6" t="n">
        <f aca="false">IF(F13="SOLO ALQUILER","—",Supuestos!$B$12*F13)</f>
        <v>80</v>
      </c>
      <c r="O13" s="6" t="n">
        <f aca="false">IF(F13="SOLO ALQUILER","—",K13-L13-M13-N13)</f>
        <v>352.390939597315</v>
      </c>
      <c r="P13" s="11" t="n">
        <f aca="false">IF(F13="SOLO ALQUILER","—",O13/D13)</f>
        <v>0.322702325638567</v>
      </c>
      <c r="Q13" s="12" t="str">
        <f aca="false">IF(F13="SOLO ALQUILER","Solo alquiler (sin opción de compra)",IF(F13&lt;D13*1.15,"⚠ Precio bajo: subir precio inicial","OK"))</f>
        <v>OK</v>
      </c>
    </row>
    <row r="14" customFormat="false" ht="15" hidden="false" customHeight="true" outlineLevel="0" collapsed="false">
      <c r="A14" s="5" t="s">
        <v>31</v>
      </c>
      <c r="B14" s="5" t="s">
        <v>30</v>
      </c>
      <c r="C14" s="6" t="n">
        <f aca="false">IF(B14="L'Essentiel",Supuestos!$B$13,IF(B14="Signature",Supuestos!$B$14,IF(B14="Privé",Supuestos!$B$15,"?")))</f>
        <v>149</v>
      </c>
      <c r="D14" s="7" t="n">
        <v>1052.18</v>
      </c>
      <c r="E14" s="6" t="n">
        <v>1050</v>
      </c>
      <c r="F14" s="8" t="n">
        <v>1150</v>
      </c>
      <c r="G14" s="9" t="n">
        <f aca="false">IF(F14="SOLO ALQUILER","—",F14/(C14*Supuestos!$B$6))</f>
        <v>7.71812080536913</v>
      </c>
      <c r="H14" s="10" t="n">
        <f aca="false">IF(G14="—","—",ROUNDUP(G14,0))</f>
        <v>8</v>
      </c>
      <c r="I14" s="6" t="n">
        <f aca="false">IF(F14="SOLO ALQUILER","—",MAX(0,F14-C14*Supuestos!$B$6*Supuestos!$B$7))</f>
        <v>256</v>
      </c>
      <c r="J14" s="6" t="n">
        <f aca="false">IF(F14="SOLO ALQUILER","—",F14)</f>
        <v>1150</v>
      </c>
      <c r="K14" s="6" t="n">
        <f aca="false">IF(F14="SOLO ALQUILER","—",F14-D14)</f>
        <v>97.8199999999999</v>
      </c>
      <c r="L14" s="6" t="n">
        <f aca="false">IF(F14="SOLO ALQUILER","—",Supuestos!$B$9*F14+Supuestos!$B$10*H14)</f>
        <v>19.25</v>
      </c>
      <c r="M14" s="6" t="n">
        <f aca="false">IF(F14="SOLO ALQUILER","—",D14*Supuestos!$B$11*(G14/2)/12)</f>
        <v>33.836884787472</v>
      </c>
      <c r="N14" s="6" t="n">
        <f aca="false">IF(F14="SOLO ALQUILER","—",Supuestos!$B$12*F14)</f>
        <v>57.5</v>
      </c>
      <c r="O14" s="6" t="n">
        <f aca="false">IF(F14="SOLO ALQUILER","—",K14-L14-M14-N14)</f>
        <v>-12.7668847874721</v>
      </c>
      <c r="P14" s="11" t="n">
        <f aca="false">IF(F14="SOLO ALQUILER","—",O14/D14)</f>
        <v>-0.0121337459251004</v>
      </c>
      <c r="Q14" s="12" t="str">
        <f aca="false">IF(F14="SOLO ALQUILER","Solo alquiler (sin opción de compra)",IF(F14&lt;D14*1.15,"⚠ Precio bajo: subir precio inicial","OK"))</f>
        <v>⚠ Precio bajo: subir precio inicial</v>
      </c>
    </row>
    <row r="15" customFormat="false" ht="15" hidden="false" customHeight="true" outlineLevel="0" collapsed="false">
      <c r="A15" s="5" t="s">
        <v>32</v>
      </c>
      <c r="B15" s="5" t="s">
        <v>30</v>
      </c>
      <c r="C15" s="6" t="n">
        <f aca="false">IF(B15="L'Essentiel",Supuestos!$B$13,IF(B15="Signature",Supuestos!$B$14,IF(B15="Privé",Supuestos!$B$15,"?")))</f>
        <v>149</v>
      </c>
      <c r="D15" s="7" t="n">
        <v>773.7</v>
      </c>
      <c r="E15" s="6" t="n">
        <v>880</v>
      </c>
      <c r="F15" s="8" t="n">
        <v>950</v>
      </c>
      <c r="G15" s="9" t="n">
        <f aca="false">IF(F15="SOLO ALQUILER","—",F15/(C15*Supuestos!$B$6))</f>
        <v>6.3758389261745</v>
      </c>
      <c r="H15" s="10" t="n">
        <f aca="false">IF(G15="—","—",ROUNDUP(G15,0))</f>
        <v>7</v>
      </c>
      <c r="I15" s="6" t="n">
        <f aca="false">IF(F15="SOLO ALQUILER","—",MAX(0,F15-C15*Supuestos!$B$6*Supuestos!$B$7))</f>
        <v>56</v>
      </c>
      <c r="J15" s="6" t="n">
        <f aca="false">IF(F15="SOLO ALQUILER","—",F15)</f>
        <v>950</v>
      </c>
      <c r="K15" s="6" t="n">
        <f aca="false">IF(F15="SOLO ALQUILER","—",F15-D15)</f>
        <v>176.3</v>
      </c>
      <c r="L15" s="6" t="n">
        <f aca="false">IF(F15="SOLO ALQUILER","—",Supuestos!$B$9*F15+Supuestos!$B$10*H15)</f>
        <v>16</v>
      </c>
      <c r="M15" s="6" t="n">
        <f aca="false">IF(F15="SOLO ALQUILER","—",D15*Supuestos!$B$11*(G15/2)/12)</f>
        <v>20.554110738255</v>
      </c>
      <c r="N15" s="6" t="n">
        <f aca="false">IF(F15="SOLO ALQUILER","—",Supuestos!$B$12*F15)</f>
        <v>47.5</v>
      </c>
      <c r="O15" s="6" t="n">
        <f aca="false">IF(F15="SOLO ALQUILER","—",K15-L15-M15-N15)</f>
        <v>92.2458892617449</v>
      </c>
      <c r="P15" s="11" t="n">
        <f aca="false">IF(F15="SOLO ALQUILER","—",O15/D15)</f>
        <v>0.119226947475436</v>
      </c>
      <c r="Q15" s="12" t="str">
        <f aca="false">IF(F15="SOLO ALQUILER","Solo alquiler (sin opción de compra)",IF(F15&lt;D15*1.15,"⚠ Precio bajo: subir precio inicial","OK"))</f>
        <v>OK</v>
      </c>
    </row>
    <row r="16" customFormat="false" ht="15" hidden="false" customHeight="true" outlineLevel="0" collapsed="false">
      <c r="A16" s="5" t="s">
        <v>33</v>
      </c>
      <c r="B16" s="5" t="s">
        <v>30</v>
      </c>
      <c r="C16" s="6" t="n">
        <f aca="false">IF(B16="L'Essentiel",Supuestos!$B$13,IF(B16="Signature",Supuestos!$B$14,IF(B16="Privé",Supuestos!$B$15,"?")))</f>
        <v>149</v>
      </c>
      <c r="D16" s="7" t="n">
        <v>708.1</v>
      </c>
      <c r="E16" s="13" t="s">
        <v>24</v>
      </c>
      <c r="F16" s="8" t="n">
        <v>1100</v>
      </c>
      <c r="G16" s="9" t="n">
        <f aca="false">IF(F16="SOLO ALQUILER","—",F16/(C16*Supuestos!$B$6))</f>
        <v>7.38255033557047</v>
      </c>
      <c r="H16" s="10" t="n">
        <f aca="false">IF(G16="—","—",ROUNDUP(G16,0))</f>
        <v>8</v>
      </c>
      <c r="I16" s="6" t="n">
        <f aca="false">IF(F16="SOLO ALQUILER","—",MAX(0,F16-C16*Supuestos!$B$6*Supuestos!$B$7))</f>
        <v>206</v>
      </c>
      <c r="J16" s="6" t="n">
        <f aca="false">IF(F16="SOLO ALQUILER","—",F16)</f>
        <v>1100</v>
      </c>
      <c r="K16" s="6" t="n">
        <f aca="false">IF(F16="SOLO ALQUILER","—",F16-D16)</f>
        <v>391.9</v>
      </c>
      <c r="L16" s="6" t="n">
        <f aca="false">IF(F16="SOLO ALQUILER","—",Supuestos!$B$9*F16+Supuestos!$B$10*H16)</f>
        <v>18.5</v>
      </c>
      <c r="M16" s="6" t="n">
        <f aca="false">IF(F16="SOLO ALQUILER","—",D16*Supuestos!$B$11*(G16/2)/12)</f>
        <v>21.7815995525727</v>
      </c>
      <c r="N16" s="6" t="n">
        <f aca="false">IF(F16="SOLO ALQUILER","—",Supuestos!$B$12*F16)</f>
        <v>55</v>
      </c>
      <c r="O16" s="6" t="n">
        <f aca="false">IF(F16="SOLO ALQUILER","—",K16-L16-M16-N16)</f>
        <v>296.618400447427</v>
      </c>
      <c r="P16" s="11" t="n">
        <f aca="false">IF(F16="SOLO ALQUILER","—",O16/D16)</f>
        <v>0.418893377273587</v>
      </c>
      <c r="Q16" s="12" t="str">
        <f aca="false">IF(F16="SOLO ALQUILER","Solo alquiler (sin opción de compra)",IF(F16&lt;D16*1.15,"⚠ Precio bajo: subir precio inicial","OK"))</f>
        <v>OK</v>
      </c>
    </row>
    <row r="17" customFormat="false" ht="15" hidden="false" customHeight="true" outlineLevel="0" collapsed="false">
      <c r="A17" s="5" t="s">
        <v>34</v>
      </c>
      <c r="B17" s="5" t="s">
        <v>30</v>
      </c>
      <c r="C17" s="6" t="n">
        <f aca="false">IF(B17="L'Essentiel",Supuestos!$B$13,IF(B17="Signature",Supuestos!$B$14,IF(B17="Privé",Supuestos!$B$15,"?")))</f>
        <v>149</v>
      </c>
      <c r="D17" s="7" t="n">
        <v>497.4</v>
      </c>
      <c r="E17" s="13" t="s">
        <v>24</v>
      </c>
      <c r="F17" s="8" t="n">
        <v>750</v>
      </c>
      <c r="G17" s="9" t="n">
        <f aca="false">IF(F17="SOLO ALQUILER","—",F17/(C17*Supuestos!$B$6))</f>
        <v>5.03355704697987</v>
      </c>
      <c r="H17" s="10" t="n">
        <f aca="false">IF(G17="—","—",ROUNDUP(G17,0))</f>
        <v>6</v>
      </c>
      <c r="I17" s="6" t="n">
        <f aca="false">IF(F17="SOLO ALQUILER","—",MAX(0,F17-C17*Supuestos!$B$6*Supuestos!$B$7))</f>
        <v>0</v>
      </c>
      <c r="J17" s="6" t="n">
        <f aca="false">IF(F17="SOLO ALQUILER","—",F17)</f>
        <v>750</v>
      </c>
      <c r="K17" s="6" t="n">
        <f aca="false">IF(F17="SOLO ALQUILER","—",F17-D17)</f>
        <v>252.6</v>
      </c>
      <c r="L17" s="6" t="n">
        <f aca="false">IF(F17="SOLO ALQUILER","—",Supuestos!$B$9*F17+Supuestos!$B$10*H17)</f>
        <v>12.75</v>
      </c>
      <c r="M17" s="6" t="n">
        <f aca="false">IF(F17="SOLO ALQUILER","—",D17*Supuestos!$B$11*(G17/2)/12)</f>
        <v>10.4320469798658</v>
      </c>
      <c r="N17" s="6" t="n">
        <f aca="false">IF(F17="SOLO ALQUILER","—",Supuestos!$B$12*F17)</f>
        <v>37.5</v>
      </c>
      <c r="O17" s="6" t="n">
        <f aca="false">IF(F17="SOLO ALQUILER","—",K17-L17-M17-N17)</f>
        <v>191.917953020134</v>
      </c>
      <c r="P17" s="11" t="n">
        <f aca="false">IF(F17="SOLO ALQUILER","—",O17/D17)</f>
        <v>0.385842285927089</v>
      </c>
      <c r="Q17" s="12" t="str">
        <f aca="false">IF(F17="SOLO ALQUILER","Solo alquiler (sin opción de compra)",IF(F17&lt;D17*1.15,"⚠ Precio bajo: subir precio inicial","OK"))</f>
        <v>OK</v>
      </c>
    </row>
    <row r="18" customFormat="false" ht="15" hidden="false" customHeight="true" outlineLevel="0" collapsed="false">
      <c r="A18" s="5" t="s">
        <v>35</v>
      </c>
      <c r="B18" s="5" t="s">
        <v>30</v>
      </c>
      <c r="C18" s="6" t="n">
        <f aca="false">IF(B18="L'Essentiel",Supuestos!$B$13,IF(B18="Signature",Supuestos!$B$14,IF(B18="Privé",Supuestos!$B$15,"?")))</f>
        <v>149</v>
      </c>
      <c r="D18" s="7" t="n">
        <v>433.7</v>
      </c>
      <c r="E18" s="13" t="s">
        <v>24</v>
      </c>
      <c r="F18" s="8" t="n">
        <v>650</v>
      </c>
      <c r="G18" s="9" t="n">
        <f aca="false">IF(F18="SOLO ALQUILER","—",F18/(C18*Supuestos!$B$6))</f>
        <v>4.36241610738255</v>
      </c>
      <c r="H18" s="10" t="n">
        <f aca="false">IF(G18="—","—",ROUNDUP(G18,0))</f>
        <v>5</v>
      </c>
      <c r="I18" s="6" t="n">
        <f aca="false">IF(F18="SOLO ALQUILER","—",MAX(0,F18-C18*Supuestos!$B$6*Supuestos!$B$7))</f>
        <v>0</v>
      </c>
      <c r="J18" s="6" t="n">
        <f aca="false">IF(F18="SOLO ALQUILER","—",F18)</f>
        <v>650</v>
      </c>
      <c r="K18" s="6" t="n">
        <f aca="false">IF(F18="SOLO ALQUILER","—",F18-D18)</f>
        <v>216.3</v>
      </c>
      <c r="L18" s="6" t="n">
        <f aca="false">IF(F18="SOLO ALQUILER","—",Supuestos!$B$9*F18+Supuestos!$B$10*H18)</f>
        <v>11</v>
      </c>
      <c r="M18" s="6" t="n">
        <f aca="false">IF(F18="SOLO ALQUILER","—",D18*Supuestos!$B$11*(G18/2)/12)</f>
        <v>7.88324944071589</v>
      </c>
      <c r="N18" s="6" t="n">
        <f aca="false">IF(F18="SOLO ALQUILER","—",Supuestos!$B$12*F18)</f>
        <v>32.5</v>
      </c>
      <c r="O18" s="6" t="n">
        <f aca="false">IF(F18="SOLO ALQUILER","—",K18-L18-M18-N18)</f>
        <v>164.916750559284</v>
      </c>
      <c r="P18" s="11" t="n">
        <f aca="false">IF(F18="SOLO ALQUILER","—",O18/D18)</f>
        <v>0.380255362138077</v>
      </c>
      <c r="Q18" s="12" t="str">
        <f aca="false">IF(F18="SOLO ALQUILER","Solo alquiler (sin opción de compra)",IF(F18&lt;D18*1.15,"⚠ Precio bajo: subir precio inicial","OK"))</f>
        <v>OK</v>
      </c>
    </row>
    <row r="19" customFormat="false" ht="15" hidden="false" customHeight="true" outlineLevel="0" collapsed="false">
      <c r="A19" s="5" t="s">
        <v>36</v>
      </c>
      <c r="B19" s="5" t="s">
        <v>30</v>
      </c>
      <c r="C19" s="6" t="n">
        <f aca="false">IF(B19="L'Essentiel",Supuestos!$B$13,IF(B19="Signature",Supuestos!$B$14,IF(B19="Privé",Supuestos!$B$15,"?")))</f>
        <v>149</v>
      </c>
      <c r="D19" s="7" t="n">
        <v>1322</v>
      </c>
      <c r="E19" s="13" t="s">
        <v>24</v>
      </c>
      <c r="F19" s="8" t="n">
        <v>2050</v>
      </c>
      <c r="G19" s="9" t="n">
        <f aca="false">IF(F19="SOLO ALQUILER","—",F19/(C19*Supuestos!$B$6))</f>
        <v>13.758389261745</v>
      </c>
      <c r="H19" s="10" t="n">
        <f aca="false">IF(G19="—","—",ROUNDUP(G19,0))</f>
        <v>14</v>
      </c>
      <c r="I19" s="6" t="n">
        <f aca="false">IF(F19="SOLO ALQUILER","—",MAX(0,F19-C19*Supuestos!$B$6*Supuestos!$B$7))</f>
        <v>1156</v>
      </c>
      <c r="J19" s="6" t="n">
        <f aca="false">IF(F19="SOLO ALQUILER","—",F19)</f>
        <v>2050</v>
      </c>
      <c r="K19" s="6" t="n">
        <f aca="false">IF(F19="SOLO ALQUILER","—",F19-D19)</f>
        <v>728</v>
      </c>
      <c r="L19" s="6" t="n">
        <f aca="false">IF(F19="SOLO ALQUILER","—",Supuestos!$B$9*F19+Supuestos!$B$10*H19)</f>
        <v>34.25</v>
      </c>
      <c r="M19" s="6" t="n">
        <f aca="false">IF(F19="SOLO ALQUILER","—",D19*Supuestos!$B$11*(G19/2)/12)</f>
        <v>75.7857941834452</v>
      </c>
      <c r="N19" s="6" t="n">
        <f aca="false">IF(F19="SOLO ALQUILER","—",Supuestos!$B$12*F19)</f>
        <v>102.5</v>
      </c>
      <c r="O19" s="6" t="n">
        <f aca="false">IF(F19="SOLO ALQUILER","—",K19-L19-M19-N19)</f>
        <v>515.464205816555</v>
      </c>
      <c r="P19" s="11" t="n">
        <f aca="false">IF(F19="SOLO ALQUILER","—",O19/D19)</f>
        <v>0.389912409846108</v>
      </c>
      <c r="Q19" s="12" t="str">
        <f aca="false">IF(F19="SOLO ALQUILER","Solo alquiler (sin opción de compra)",IF(F19&lt;D19*1.15,"⚠ Precio bajo: subir precio inicial","OK"))</f>
        <v>OK</v>
      </c>
    </row>
    <row r="20" customFormat="false" ht="15" hidden="false" customHeight="true" outlineLevel="0" collapsed="false">
      <c r="A20" s="5" t="s">
        <v>37</v>
      </c>
      <c r="B20" s="5" t="s">
        <v>30</v>
      </c>
      <c r="C20" s="6" t="n">
        <f aca="false">IF(B20="L'Essentiel",Supuestos!$B$13,IF(B20="Signature",Supuestos!$B$14,IF(B20="Privé",Supuestos!$B$15,"?")))</f>
        <v>149</v>
      </c>
      <c r="D20" s="7" t="n">
        <v>1206.43</v>
      </c>
      <c r="E20" s="13" t="s">
        <v>24</v>
      </c>
      <c r="F20" s="8" t="n">
        <v>1850</v>
      </c>
      <c r="G20" s="9" t="n">
        <f aca="false">IF(F20="SOLO ALQUILER","—",F20/(C20*Supuestos!$B$6))</f>
        <v>12.4161073825503</v>
      </c>
      <c r="H20" s="10" t="n">
        <f aca="false">IF(G20="—","—",ROUNDUP(G20,0))</f>
        <v>13</v>
      </c>
      <c r="I20" s="6" t="n">
        <f aca="false">IF(F20="SOLO ALQUILER","—",MAX(0,F20-C20*Supuestos!$B$6*Supuestos!$B$7))</f>
        <v>956</v>
      </c>
      <c r="J20" s="6" t="n">
        <f aca="false">IF(F20="SOLO ALQUILER","—",F20)</f>
        <v>1850</v>
      </c>
      <c r="K20" s="6" t="n">
        <f aca="false">IF(F20="SOLO ALQUILER","—",F20-D20)</f>
        <v>643.57</v>
      </c>
      <c r="L20" s="6" t="n">
        <f aca="false">IF(F20="SOLO ALQUILER","—",Supuestos!$B$9*F20+Supuestos!$B$10*H20)</f>
        <v>31</v>
      </c>
      <c r="M20" s="6" t="n">
        <f aca="false">IF(F20="SOLO ALQUILER","—",D20*Supuestos!$B$11*(G20/2)/12)</f>
        <v>62.4131851230425</v>
      </c>
      <c r="N20" s="6" t="n">
        <f aca="false">IF(F20="SOLO ALQUILER","—",Supuestos!$B$12*F20)</f>
        <v>92.5</v>
      </c>
      <c r="O20" s="6" t="n">
        <f aca="false">IF(F20="SOLO ALQUILER","—",K20-L20-M20-N20)</f>
        <v>457.656814876957</v>
      </c>
      <c r="P20" s="11" t="n">
        <f aca="false">IF(F20="SOLO ALQUILER","—",O20/D20)</f>
        <v>0.379348005998655</v>
      </c>
      <c r="Q20" s="12" t="str">
        <f aca="false">IF(F20="SOLO ALQUILER","Solo alquiler (sin opción de compra)",IF(F20&lt;D20*1.15,"⚠ Precio bajo: subir precio inicial","OK"))</f>
        <v>OK</v>
      </c>
    </row>
    <row r="21" customFormat="false" ht="15" hidden="false" customHeight="true" outlineLevel="0" collapsed="false">
      <c r="A21" s="5" t="s">
        <v>38</v>
      </c>
      <c r="B21" s="5" t="s">
        <v>39</v>
      </c>
      <c r="C21" s="6" t="n">
        <f aca="false">IF(B21="L'Essentiel",Supuestos!$B$13,IF(B21="Signature",Supuestos!$B$14,IF(B21="Privé",Supuestos!$B$15,"?")))</f>
        <v>59</v>
      </c>
      <c r="D21" s="7" t="n">
        <v>583.1</v>
      </c>
      <c r="E21" s="6" t="n">
        <v>480</v>
      </c>
      <c r="F21" s="8" t="n">
        <v>800</v>
      </c>
      <c r="G21" s="9" t="n">
        <f aca="false">IF(F21="SOLO ALQUILER","—",F21/(C21*Supuestos!$B$6))</f>
        <v>13.5593220338983</v>
      </c>
      <c r="H21" s="10" t="n">
        <f aca="false">IF(G21="—","—",ROUNDUP(G21,0))</f>
        <v>14</v>
      </c>
      <c r="I21" s="6" t="n">
        <f aca="false">IF(F21="SOLO ALQUILER","—",MAX(0,F21-C21*Supuestos!$B$6*Supuestos!$B$7))</f>
        <v>446</v>
      </c>
      <c r="J21" s="6" t="n">
        <f aca="false">IF(F21="SOLO ALQUILER","—",F21)</f>
        <v>800</v>
      </c>
      <c r="K21" s="6" t="n">
        <f aca="false">IF(F21="SOLO ALQUILER","—",F21-D21)</f>
        <v>216.9</v>
      </c>
      <c r="L21" s="6" t="n">
        <f aca="false">IF(F21="SOLO ALQUILER","—",Supuestos!$B$9*F21+Supuestos!$B$10*H21)</f>
        <v>15.5</v>
      </c>
      <c r="M21" s="6" t="n">
        <f aca="false">IF(F21="SOLO ALQUILER","—",D21*Supuestos!$B$11*(G21/2)/12)</f>
        <v>32.9435028248588</v>
      </c>
      <c r="N21" s="6" t="n">
        <f aca="false">IF(F21="SOLO ALQUILER","—",Supuestos!$B$12*F21)</f>
        <v>40</v>
      </c>
      <c r="O21" s="6" t="n">
        <f aca="false">IF(F21="SOLO ALQUILER","—",K21-L21-M21-N21)</f>
        <v>128.456497175141</v>
      </c>
      <c r="P21" s="11" t="n">
        <f aca="false">IF(F21="SOLO ALQUILER","—",O21/D21)</f>
        <v>0.220299257717615</v>
      </c>
      <c r="Q21" s="12" t="str">
        <f aca="false">IF(F21="SOLO ALQUILER","Solo alquiler (sin opción de compra)",IF(F21&lt;D21*1.15,"⚠ Precio bajo: subir precio inicial","OK"))</f>
        <v>OK</v>
      </c>
    </row>
    <row r="22" customFormat="false" ht="15" hidden="false" customHeight="true" outlineLevel="0" collapsed="false">
      <c r="A22" s="5" t="s">
        <v>40</v>
      </c>
      <c r="B22" s="5" t="s">
        <v>39</v>
      </c>
      <c r="C22" s="6" t="n">
        <f aca="false">IF(B22="L'Essentiel",Supuestos!$B$13,IF(B22="Signature",Supuestos!$B$14,IF(B22="Privé",Supuestos!$B$15,"?")))</f>
        <v>59</v>
      </c>
      <c r="D22" s="7" t="n">
        <v>448.46</v>
      </c>
      <c r="E22" s="13" t="s">
        <v>24</v>
      </c>
      <c r="F22" s="8" t="n">
        <v>700</v>
      </c>
      <c r="G22" s="9" t="n">
        <f aca="false">IF(F22="SOLO ALQUILER","—",F22/(C22*Supuestos!$B$6))</f>
        <v>11.864406779661</v>
      </c>
      <c r="H22" s="10" t="n">
        <f aca="false">IF(G22="—","—",ROUNDUP(G22,0))</f>
        <v>12</v>
      </c>
      <c r="I22" s="6" t="n">
        <f aca="false">IF(F22="SOLO ALQUILER","—",MAX(0,F22-C22*Supuestos!$B$6*Supuestos!$B$7))</f>
        <v>346</v>
      </c>
      <c r="J22" s="6" t="n">
        <f aca="false">IF(F22="SOLO ALQUILER","—",F22)</f>
        <v>700</v>
      </c>
      <c r="K22" s="6" t="n">
        <f aca="false">IF(F22="SOLO ALQUILER","—",F22-D22)</f>
        <v>251.54</v>
      </c>
      <c r="L22" s="6" t="n">
        <f aca="false">IF(F22="SOLO ALQUILER","—",Supuestos!$B$9*F22+Supuestos!$B$10*H22)</f>
        <v>13.5</v>
      </c>
      <c r="M22" s="6" t="n">
        <f aca="false">IF(F22="SOLO ALQUILER","—",D22*Supuestos!$B$11*(G22/2)/12)</f>
        <v>22.1696327683616</v>
      </c>
      <c r="N22" s="6" t="n">
        <f aca="false">IF(F22="SOLO ALQUILER","—",Supuestos!$B$12*F22)</f>
        <v>35</v>
      </c>
      <c r="O22" s="6" t="n">
        <f aca="false">IF(F22="SOLO ALQUILER","—",K22-L22-M22-N22)</f>
        <v>180.870367231638</v>
      </c>
      <c r="P22" s="11" t="n">
        <f aca="false">IF(F22="SOLO ALQUILER","—",O22/D22)</f>
        <v>0.403314380840294</v>
      </c>
      <c r="Q22" s="12" t="str">
        <f aca="false">IF(F22="SOLO ALQUILER","Solo alquiler (sin opción de compra)",IF(F22&lt;D22*1.15,"⚠ Precio bajo: subir precio inicial","OK"))</f>
        <v>OK</v>
      </c>
    </row>
    <row r="23" customFormat="false" ht="15" hidden="false" customHeight="true" outlineLevel="0" collapsed="false">
      <c r="A23" s="5" t="s">
        <v>41</v>
      </c>
      <c r="B23" s="5" t="s">
        <v>39</v>
      </c>
      <c r="C23" s="6" t="n">
        <f aca="false">IF(B23="L'Essentiel",Supuestos!$B$13,IF(B23="Signature",Supuestos!$B$14,IF(B23="Privé",Supuestos!$B$15,"?")))</f>
        <v>59</v>
      </c>
      <c r="D23" s="7" t="n">
        <v>310.38</v>
      </c>
      <c r="E23" s="13" t="s">
        <v>24</v>
      </c>
      <c r="F23" s="8" t="n">
        <v>500</v>
      </c>
      <c r="G23" s="9" t="n">
        <f aca="false">IF(F23="SOLO ALQUILER","—",F23/(C23*Supuestos!$B$6))</f>
        <v>8.47457627118644</v>
      </c>
      <c r="H23" s="10" t="n">
        <f aca="false">IF(G23="—","—",ROUNDUP(G23,0))</f>
        <v>9</v>
      </c>
      <c r="I23" s="6" t="n">
        <f aca="false">IF(F23="SOLO ALQUILER","—",MAX(0,F23-C23*Supuestos!$B$6*Supuestos!$B$7))</f>
        <v>146</v>
      </c>
      <c r="J23" s="6" t="n">
        <f aca="false">IF(F23="SOLO ALQUILER","—",F23)</f>
        <v>500</v>
      </c>
      <c r="K23" s="6" t="n">
        <f aca="false">IF(F23="SOLO ALQUILER","—",F23-D23)</f>
        <v>189.62</v>
      </c>
      <c r="L23" s="6" t="n">
        <f aca="false">IF(F23="SOLO ALQUILER","—",Supuestos!$B$9*F23+Supuestos!$B$10*H23)</f>
        <v>9.75</v>
      </c>
      <c r="M23" s="6" t="n">
        <f aca="false">IF(F23="SOLO ALQUILER","—",D23*Supuestos!$B$11*(G23/2)/12)</f>
        <v>10.9597457627119</v>
      </c>
      <c r="N23" s="6" t="n">
        <f aca="false">IF(F23="SOLO ALQUILER","—",Supuestos!$B$12*F23)</f>
        <v>25</v>
      </c>
      <c r="O23" s="6" t="n">
        <f aca="false">IF(F23="SOLO ALQUILER","—",K23-L23-M23-N23)</f>
        <v>143.910254237288</v>
      </c>
      <c r="P23" s="11" t="n">
        <f aca="false">IF(F23="SOLO ALQUILER","—",O23/D23)</f>
        <v>0.463658271271629</v>
      </c>
      <c r="Q23" s="12" t="str">
        <f aca="false">IF(F23="SOLO ALQUILER","Solo alquiler (sin opción de compra)",IF(F23&lt;D23*1.15,"⚠ Precio bajo: subir precio inicial","OK"))</f>
        <v>OK</v>
      </c>
    </row>
    <row r="24" customFormat="false" ht="15" hidden="false" customHeight="true" outlineLevel="0" collapsed="false">
      <c r="A24" s="5" t="s">
        <v>42</v>
      </c>
      <c r="B24" s="5" t="s">
        <v>39</v>
      </c>
      <c r="C24" s="6" t="n">
        <f aca="false">IF(B24="L'Essentiel",Supuestos!$B$13,IF(B24="Signature",Supuestos!$B$14,IF(B24="Privé",Supuestos!$B$15,"?")))</f>
        <v>59</v>
      </c>
      <c r="D24" s="7" t="n">
        <v>156.14</v>
      </c>
      <c r="E24" s="13" t="s">
        <v>24</v>
      </c>
      <c r="F24" s="14" t="s">
        <v>43</v>
      </c>
      <c r="G24" s="9" t="str">
        <f aca="false">IF(F24="SOLO ALQUILER","—",F24/(C24*Supuestos!$B$6))</f>
        <v>—</v>
      </c>
      <c r="H24" s="10" t="str">
        <f aca="false">IF(G24="—","—",ROUNDUP(G24,0))</f>
        <v>—</v>
      </c>
      <c r="I24" s="6" t="str">
        <f aca="false">IF(F24="SOLO ALQUILER","—",MAX(0,F24-C24*Supuestos!$B$6*Supuestos!$B$7))</f>
        <v>—</v>
      </c>
      <c r="J24" s="6" t="str">
        <f aca="false">IF(F24="SOLO ALQUILER","—",F24)</f>
        <v>—</v>
      </c>
      <c r="K24" s="6" t="str">
        <f aca="false">IF(F24="SOLO ALQUILER","—",F24-D24)</f>
        <v>—</v>
      </c>
      <c r="L24" s="6" t="str">
        <f aca="false">IF(F24="SOLO ALQUILER","—",Supuestos!$B$9*F24+Supuestos!$B$10*H24)</f>
        <v>—</v>
      </c>
      <c r="M24" s="6" t="str">
        <f aca="false">IF(F24="SOLO ALQUILER","—",D24*Supuestos!$B$11*(G24/2)/12)</f>
        <v>—</v>
      </c>
      <c r="N24" s="6" t="str">
        <f aca="false">IF(F24="SOLO ALQUILER","—",Supuestos!$B$12*F24)</f>
        <v>—</v>
      </c>
      <c r="O24" s="6" t="str">
        <f aca="false">IF(F24="SOLO ALQUILER","—",K24-L24-M24-N24)</f>
        <v>—</v>
      </c>
      <c r="P24" s="11" t="str">
        <f aca="false">IF(F24="SOLO ALQUILER","—",O24/D24)</f>
        <v>—</v>
      </c>
      <c r="Q24" s="12" t="str">
        <f aca="false">IF(F24="SOLO ALQUILER","Solo alquiler (sin opción de compra)",IF(F24&lt;D24*1.15,"⚠ Precio bajo: subir precio inicial","OK"))</f>
        <v>Solo alquiler (sin opción de compra)</v>
      </c>
    </row>
    <row r="25" customFormat="false" ht="15" hidden="false" customHeight="true" outlineLevel="0" collapsed="false">
      <c r="A25" s="5" t="s">
        <v>44</v>
      </c>
      <c r="B25" s="5" t="s">
        <v>39</v>
      </c>
      <c r="C25" s="6" t="n">
        <f aca="false">IF(B25="L'Essentiel",Supuestos!$B$13,IF(B25="Signature",Supuestos!$B$14,IF(B25="Privé",Supuestos!$B$15,"?")))</f>
        <v>59</v>
      </c>
      <c r="D25" s="7" t="n">
        <v>146.61</v>
      </c>
      <c r="E25" s="13" t="s">
        <v>24</v>
      </c>
      <c r="F25" s="14" t="s">
        <v>43</v>
      </c>
      <c r="G25" s="9" t="str">
        <f aca="false">IF(F25="SOLO ALQUILER","—",F25/(C25*Supuestos!$B$6))</f>
        <v>—</v>
      </c>
      <c r="H25" s="10" t="str">
        <f aca="false">IF(G25="—","—",ROUNDUP(G25,0))</f>
        <v>—</v>
      </c>
      <c r="I25" s="6" t="str">
        <f aca="false">IF(F25="SOLO ALQUILER","—",MAX(0,F25-C25*Supuestos!$B$6*Supuestos!$B$7))</f>
        <v>—</v>
      </c>
      <c r="J25" s="6" t="str">
        <f aca="false">IF(F25="SOLO ALQUILER","—",F25)</f>
        <v>—</v>
      </c>
      <c r="K25" s="6" t="str">
        <f aca="false">IF(F25="SOLO ALQUILER","—",F25-D25)</f>
        <v>—</v>
      </c>
      <c r="L25" s="6" t="str">
        <f aca="false">IF(F25="SOLO ALQUILER","—",Supuestos!$B$9*F25+Supuestos!$B$10*H25)</f>
        <v>—</v>
      </c>
      <c r="M25" s="6" t="str">
        <f aca="false">IF(F25="SOLO ALQUILER","—",D25*Supuestos!$B$11*(G25/2)/12)</f>
        <v>—</v>
      </c>
      <c r="N25" s="6" t="str">
        <f aca="false">IF(F25="SOLO ALQUILER","—",Supuestos!$B$12*F25)</f>
        <v>—</v>
      </c>
      <c r="O25" s="6" t="str">
        <f aca="false">IF(F25="SOLO ALQUILER","—",K25-L25-M25-N25)</f>
        <v>—</v>
      </c>
      <c r="P25" s="11" t="str">
        <f aca="false">IF(F25="SOLO ALQUILER","—",O25/D25)</f>
        <v>—</v>
      </c>
      <c r="Q25" s="12" t="str">
        <f aca="false">IF(F25="SOLO ALQUILER","Solo alquiler (sin opción de compra)",IF(F25&lt;D25*1.15,"⚠ Precio bajo: subir precio inicial","OK"))</f>
        <v>Solo alquiler (sin opción de compra)</v>
      </c>
    </row>
    <row r="26" customFormat="false" ht="15" hidden="false" customHeight="true" outlineLevel="0" collapsed="false">
      <c r="A26" s="5" t="s">
        <v>45</v>
      </c>
      <c r="B26" s="5" t="s">
        <v>39</v>
      </c>
      <c r="C26" s="6" t="n">
        <f aca="false">IF(B26="L'Essentiel",Supuestos!$B$13,IF(B26="Signature",Supuestos!$B$14,IF(B26="Privé",Supuestos!$B$15,"?")))</f>
        <v>59</v>
      </c>
      <c r="D26" s="7" t="n">
        <v>449</v>
      </c>
      <c r="E26" s="13" t="s">
        <v>24</v>
      </c>
      <c r="F26" s="14" t="s">
        <v>43</v>
      </c>
      <c r="G26" s="9" t="str">
        <f aca="false">IF(F26="SOLO ALQUILER","—",F26/(C26*Supuestos!$B$6))</f>
        <v>—</v>
      </c>
      <c r="H26" s="10" t="str">
        <f aca="false">IF(G26="—","—",ROUNDUP(G26,0))</f>
        <v>—</v>
      </c>
      <c r="I26" s="6" t="str">
        <f aca="false">IF(F26="SOLO ALQUILER","—",MAX(0,F26-C26*Supuestos!$B$6*Supuestos!$B$7))</f>
        <v>—</v>
      </c>
      <c r="J26" s="6" t="str">
        <f aca="false">IF(F26="SOLO ALQUILER","—",F26)</f>
        <v>—</v>
      </c>
      <c r="K26" s="6" t="str">
        <f aca="false">IF(F26="SOLO ALQUILER","—",F26-D26)</f>
        <v>—</v>
      </c>
      <c r="L26" s="6" t="str">
        <f aca="false">IF(F26="SOLO ALQUILER","—",Supuestos!$B$9*F26+Supuestos!$B$10*H26)</f>
        <v>—</v>
      </c>
      <c r="M26" s="6" t="str">
        <f aca="false">IF(F26="SOLO ALQUILER","—",D26*Supuestos!$B$11*(G26/2)/12)</f>
        <v>—</v>
      </c>
      <c r="N26" s="6" t="str">
        <f aca="false">IF(F26="SOLO ALQUILER","—",Supuestos!$B$12*F26)</f>
        <v>—</v>
      </c>
      <c r="O26" s="6" t="str">
        <f aca="false">IF(F26="SOLO ALQUILER","—",K26-L26-M26-N26)</f>
        <v>—</v>
      </c>
      <c r="P26" s="11" t="str">
        <f aca="false">IF(F26="SOLO ALQUILER","—",O26/D26)</f>
        <v>—</v>
      </c>
      <c r="Q26" s="12" t="str">
        <f aca="false">IF(F26="SOLO ALQUILER","Solo alquiler (sin opción de compra)",IF(F26&lt;D26*1.15,"⚠ Precio bajo: subir precio inicial","OK"))</f>
        <v>Solo alquiler (sin opción de compra)</v>
      </c>
    </row>
    <row r="28" customFormat="false" ht="15" hidden="false" customHeight="true" outlineLevel="0" collapsed="false">
      <c r="A28" s="15" t="s">
        <v>46</v>
      </c>
      <c r="B28" s="16"/>
      <c r="C28" s="16"/>
      <c r="D28" s="17" t="n">
        <f aca="false">SUMIF(F5:F26,"&lt;&gt;SOLO ALQUILER",D5:D26)</f>
        <v>21917.71</v>
      </c>
      <c r="E28" s="16"/>
      <c r="F28" s="17" t="n">
        <f aca="false">SUMIF(F5:F26,"&lt;&gt;SOLO ALQUILER",F5:F26)</f>
        <v>33500</v>
      </c>
      <c r="G28" s="16"/>
      <c r="H28" s="16"/>
      <c r="I28" s="16"/>
      <c r="J28" s="16"/>
      <c r="K28" s="17" t="n">
        <f aca="false">SUM(K5:K26)</f>
        <v>11582.29</v>
      </c>
      <c r="L28" s="16"/>
      <c r="M28" s="16"/>
      <c r="N28" s="16"/>
      <c r="O28" s="17" t="n">
        <f aca="false">SUM(O5:O26)</f>
        <v>8391.39532871439</v>
      </c>
      <c r="P28" s="18" t="n">
        <f aca="false">O28/D28</f>
        <v>0.382859127560059</v>
      </c>
      <c r="Q28" s="16"/>
    </row>
    <row r="30" customFormat="false" ht="15" hidden="false" customHeight="true" outlineLevel="0" collapsed="false">
      <c r="A30" s="19" t="s">
        <v>47</v>
      </c>
    </row>
    <row r="31" customFormat="false" ht="26.25" hidden="false" customHeight="true" outlineLevel="0" collapsed="false">
      <c r="A31" s="20" t="s">
        <v>3</v>
      </c>
      <c r="B31" s="20" t="s">
        <v>48</v>
      </c>
      <c r="C31" s="20" t="s">
        <v>49</v>
      </c>
      <c r="D31" s="20" t="s">
        <v>50</v>
      </c>
      <c r="E31" s="20" t="s">
        <v>51</v>
      </c>
      <c r="F31" s="20" t="s">
        <v>52</v>
      </c>
    </row>
    <row r="32" customFormat="false" ht="15" hidden="false" customHeight="true" outlineLevel="0" collapsed="false">
      <c r="A32" s="21" t="s">
        <v>39</v>
      </c>
      <c r="B32" s="21" t="n">
        <f aca="false">COUNTIFS(B5:B26,A32,F5:F26,"&lt;&gt;SOLO ALQUILER")</f>
        <v>3</v>
      </c>
      <c r="C32" s="22" t="n">
        <f aca="false">SUMIFS(D5:D26,B5:B26,A32,F5:F26,"&lt;&gt;SOLO ALQUILER")</f>
        <v>1341.94</v>
      </c>
      <c r="D32" s="22" t="n">
        <f aca="false">SUMIFS(F5:F26,B5:B26,A32,F5:F26,"&lt;&gt;SOLO ALQUILER")</f>
        <v>2000</v>
      </c>
      <c r="E32" s="22" t="n">
        <f aca="false">SUMIFS(O5:O26,B5:B26,A32,F5:F26,"&lt;&gt;SOLO ALQUILER")</f>
        <v>453.237118644068</v>
      </c>
      <c r="F32" s="23" t="n">
        <f aca="false">E32/C32</f>
        <v>0.337747677723347</v>
      </c>
    </row>
    <row r="33" customFormat="false" ht="15" hidden="false" customHeight="true" outlineLevel="0" collapsed="false">
      <c r="A33" s="21" t="s">
        <v>30</v>
      </c>
      <c r="B33" s="21" t="n">
        <f aca="false">COUNTIFS(B5:B26,A33,F5:F26,"&lt;&gt;SOLO ALQUILER")</f>
        <v>8</v>
      </c>
      <c r="C33" s="22" t="n">
        <f aca="false">SUMIFS(D5:D26,B5:B26,A33,F5:F26,"&lt;&gt;SOLO ALQUILER")</f>
        <v>7085.51</v>
      </c>
      <c r="D33" s="22" t="n">
        <f aca="false">SUMIFS(F5:F26,B5:B26,A33,F5:F26,"&lt;&gt;SOLO ALQUILER")</f>
        <v>10100</v>
      </c>
      <c r="E33" s="22" t="n">
        <f aca="false">SUMIFS(O5:O26,B5:B26,A33,F5:F26,"&lt;&gt;SOLO ALQUILER")</f>
        <v>2058.44406879195</v>
      </c>
      <c r="F33" s="23" t="n">
        <f aca="false">E33/C33</f>
        <v>0.290514595109166</v>
      </c>
    </row>
    <row r="34" customFormat="false" ht="15" hidden="false" customHeight="true" outlineLevel="0" collapsed="false">
      <c r="A34" s="21" t="s">
        <v>20</v>
      </c>
      <c r="B34" s="21" t="n">
        <f aca="false">COUNTIFS(B5:B26,A34,F5:F26,"&lt;&gt;SOLO ALQUILER")</f>
        <v>8</v>
      </c>
      <c r="C34" s="22" t="n">
        <f aca="false">SUMIFS(D5:D26,B5:B26,A34,F5:F26,"&lt;&gt;SOLO ALQUILER")</f>
        <v>13490.26</v>
      </c>
      <c r="D34" s="22" t="n">
        <f aca="false">SUMIFS(F5:F26,B5:B26,A34,F5:F26,"&lt;&gt;SOLO ALQUILER")</f>
        <v>21400</v>
      </c>
      <c r="E34" s="22" t="n">
        <f aca="false">SUMIFS(O5:O26,B5:B26,A34,F5:F26,"&lt;&gt;SOLO ALQUILER")</f>
        <v>5879.71414127838</v>
      </c>
      <c r="F34" s="23" t="n">
        <f aca="false">E34/C34</f>
        <v>0.435848837700561</v>
      </c>
    </row>
    <row r="37" customFormat="false" ht="15" hidden="false" customHeight="true" outlineLevel="0" collapsed="false">
      <c r="A37" s="19" t="s">
        <v>53</v>
      </c>
    </row>
    <row r="38" customFormat="false" ht="15" hidden="false" customHeight="true" outlineLevel="0" collapsed="false">
      <c r="A38" s="3" t="s">
        <v>54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5" hidden="false" customHeight="true" outlineLevel="0" collapsed="false">
      <c r="A39" s="3" t="s">
        <v>55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15" hidden="false" customHeight="true" outlineLevel="0" collapsed="false">
      <c r="A40" s="3" t="s">
        <v>56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5" hidden="false" customHeight="true" outlineLevel="0" collapsed="false">
      <c r="A41" s="3" t="s">
        <v>57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customFormat="false" ht="15" hidden="false" customHeight="true" outlineLevel="0" collapsed="false">
      <c r="A42" s="3" t="s">
        <v>58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7">
    <mergeCell ref="A1:S1"/>
    <mergeCell ref="A2:S2"/>
    <mergeCell ref="A38:M38"/>
    <mergeCell ref="A39:M39"/>
    <mergeCell ref="A40:M40"/>
    <mergeCell ref="A41:M41"/>
    <mergeCell ref="A42:M42"/>
  </mergeCells>
  <conditionalFormatting sqref="O5:O26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Q5:Q26">
    <cfRule type="expression" priority="4" aboveAverage="0" equalAverage="0" bottom="0" percent="0" rank="0" text="" dxfId="0">
      <formula>LEFT(Q5,1)="⚠"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59</v>
      </c>
      <c r="B1" s="2"/>
      <c r="C1" s="2"/>
    </row>
    <row r="3" customFormat="false" ht="15" hidden="false" customHeight="true" outlineLevel="0" collapsed="false">
      <c r="A3" s="24" t="s">
        <v>60</v>
      </c>
      <c r="B3" s="24"/>
      <c r="C3" s="24"/>
    </row>
    <row r="5" customFormat="false" ht="30" hidden="false" customHeight="true" outlineLevel="0" collapsed="false">
      <c r="A5" s="25" t="s">
        <v>61</v>
      </c>
      <c r="B5" s="25" t="s">
        <v>62</v>
      </c>
      <c r="C5" s="25" t="s">
        <v>63</v>
      </c>
    </row>
    <row r="6" customFormat="false" ht="33.75" hidden="false" customHeight="true" outlineLevel="0" collapsed="false">
      <c r="A6" s="26" t="s">
        <v>64</v>
      </c>
      <c r="B6" s="27" t="n">
        <v>1</v>
      </c>
      <c r="C6" s="26" t="s">
        <v>65</v>
      </c>
    </row>
    <row r="7" customFormat="false" ht="33.75" hidden="false" customHeight="true" outlineLevel="0" collapsed="false">
      <c r="A7" s="26" t="s">
        <v>66</v>
      </c>
      <c r="B7" s="28" t="n">
        <v>6</v>
      </c>
      <c r="C7" s="26" t="s">
        <v>67</v>
      </c>
    </row>
    <row r="8" customFormat="false" ht="33.75" hidden="false" customHeight="true" outlineLevel="0" collapsed="false">
      <c r="A8" s="26" t="s">
        <v>68</v>
      </c>
      <c r="B8" s="29" t="n">
        <v>1.1</v>
      </c>
      <c r="C8" s="26" t="s">
        <v>69</v>
      </c>
    </row>
    <row r="9" customFormat="false" ht="33.75" hidden="false" customHeight="true" outlineLevel="0" collapsed="false">
      <c r="A9" s="26" t="s">
        <v>70</v>
      </c>
      <c r="B9" s="30" t="n">
        <v>0.015</v>
      </c>
      <c r="C9" s="26" t="s">
        <v>71</v>
      </c>
    </row>
    <row r="10" customFormat="false" ht="33.75" hidden="false" customHeight="true" outlineLevel="0" collapsed="false">
      <c r="A10" s="26" t="s">
        <v>72</v>
      </c>
      <c r="B10" s="31" t="n">
        <v>0.25</v>
      </c>
      <c r="C10" s="26" t="s">
        <v>73</v>
      </c>
    </row>
    <row r="11" customFormat="false" ht="33.75" hidden="false" customHeight="true" outlineLevel="0" collapsed="false">
      <c r="A11" s="26" t="s">
        <v>74</v>
      </c>
      <c r="B11" s="27" t="n">
        <v>0.1</v>
      </c>
      <c r="C11" s="26" t="s">
        <v>75</v>
      </c>
    </row>
    <row r="12" customFormat="false" ht="33.75" hidden="false" customHeight="true" outlineLevel="0" collapsed="false">
      <c r="A12" s="26" t="s">
        <v>76</v>
      </c>
      <c r="B12" s="27" t="n">
        <v>0.05</v>
      </c>
      <c r="C12" s="26" t="s">
        <v>77</v>
      </c>
    </row>
    <row r="13" customFormat="false" ht="33.75" hidden="false" customHeight="true" outlineLevel="0" collapsed="false">
      <c r="A13" s="26" t="s">
        <v>78</v>
      </c>
      <c r="B13" s="32" t="n">
        <v>59</v>
      </c>
      <c r="C13" s="26" t="s">
        <v>79</v>
      </c>
    </row>
    <row r="14" customFormat="false" ht="33.75" hidden="false" customHeight="true" outlineLevel="0" collapsed="false">
      <c r="A14" s="26" t="s">
        <v>80</v>
      </c>
      <c r="B14" s="32" t="n">
        <v>149</v>
      </c>
      <c r="C14" s="26" t="s">
        <v>79</v>
      </c>
    </row>
    <row r="15" customFormat="false" ht="33.75" hidden="false" customHeight="true" outlineLevel="0" collapsed="false">
      <c r="A15" s="26" t="s">
        <v>81</v>
      </c>
      <c r="B15" s="32" t="n">
        <v>279</v>
      </c>
      <c r="C15" s="26" t="s">
        <v>79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2026-09-18T19:15:23Z</dcterms:created>
  <dc:creator>openpyxl</dc:creator>
  <dc:description/>
  <dc:language>en-US</dc:language>
  <cp:lastModifiedBy/>
  <dcterms:modified xsi:type="dcterms:W3CDTF">2026-09-18T19:17:03Z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